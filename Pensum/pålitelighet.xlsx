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bjarnp_ntnu_no/Documents/TS 501823 Endringsledelse og teknologiske utfordringer/PBL/"/>
    </mc:Choice>
  </mc:AlternateContent>
  <xr:revisionPtr revIDLastSave="265" documentId="8_{BE18A190-7D33-462F-A5F5-E81B78877FD2}" xr6:coauthVersionLast="47" xr6:coauthVersionMax="47" xr10:uidLastSave="{7C655142-2F63-45AE-BDBF-1F6DEDA77D98}"/>
  <bookViews>
    <workbookView xWindow="-108" yWindow="-108" windowWidth="23256" windowHeight="12576" xr2:uid="{BC6761A7-9812-4695-B378-7CC637FB9F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 s="1"/>
  <c r="C2" i="2"/>
  <c r="J16" i="2"/>
  <c r="F16" i="2"/>
  <c r="I19" i="2"/>
  <c r="D3" i="1"/>
  <c r="C6" i="1"/>
  <c r="C7" i="1" s="1"/>
  <c r="F20" i="2" l="1"/>
</calcChain>
</file>

<file path=xl/sharedStrings.xml><?xml version="1.0" encoding="utf-8"?>
<sst xmlns="http://schemas.openxmlformats.org/spreadsheetml/2006/main" count="40" uniqueCount="30">
  <si>
    <t>MTBF</t>
  </si>
  <si>
    <t>t</t>
  </si>
  <si>
    <t>λ</t>
  </si>
  <si>
    <t>MTBF(år)</t>
  </si>
  <si>
    <t>Switchboard</t>
  </si>
  <si>
    <t>Converters</t>
  </si>
  <si>
    <t>Drives</t>
  </si>
  <si>
    <t>Motor/propeller</t>
  </si>
  <si>
    <t>Dieselgeneratorer to av tre struktur</t>
  </si>
  <si>
    <t>DG1</t>
  </si>
  <si>
    <t>DG2</t>
  </si>
  <si>
    <t>DG3</t>
  </si>
  <si>
    <t>SW1</t>
  </si>
  <si>
    <t>SW2</t>
  </si>
  <si>
    <t>C1</t>
  </si>
  <si>
    <t>C2</t>
  </si>
  <si>
    <t>D1</t>
  </si>
  <si>
    <t>D2</t>
  </si>
  <si>
    <t>M1</t>
  </si>
  <si>
    <t>M2</t>
  </si>
  <si>
    <t>Pålitelighet</t>
  </si>
  <si>
    <t>Pålitelighet :</t>
  </si>
  <si>
    <t>P (system)</t>
  </si>
  <si>
    <t>0.9</t>
  </si>
  <si>
    <t>P(DG)</t>
  </si>
  <si>
    <t>P(SW)</t>
  </si>
  <si>
    <t>P(D)</t>
  </si>
  <si>
    <t>P(C)</t>
  </si>
  <si>
    <t>P(M)</t>
  </si>
  <si>
    <t>Bruk komma, ikke punktum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</si>
</sst>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8</xdr:row>
      <xdr:rowOff>209550</xdr:rowOff>
    </xdr:from>
    <xdr:to>
      <xdr:col>7</xdr:col>
      <xdr:colOff>314325</xdr:colOff>
      <xdr:row>12</xdr:row>
      <xdr:rowOff>209550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8660B16-0E3E-F025-DB9E-5694C5B85DF9}"/>
            </a:ext>
          </a:extLst>
        </xdr:cNvPr>
        <xdr:cNvCxnSpPr/>
      </xdr:nvCxnSpPr>
      <xdr:spPr>
        <a:xfrm flipV="1">
          <a:off x="5248275" y="1743075"/>
          <a:ext cx="9525" cy="1381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390525</xdr:colOff>
      <xdr:row>8</xdr:row>
      <xdr:rowOff>190500</xdr:rowOff>
    </xdr:from>
    <xdr:to>
      <xdr:col>3</xdr:col>
      <xdr:colOff>600075</xdr:colOff>
      <xdr:row>8</xdr:row>
      <xdr:rowOff>190500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9E1840E-9394-D1D9-0F5D-EB3BCE407C6D}"/>
            </a:ext>
          </a:extLst>
        </xdr:cNvPr>
        <xdr:cNvCxnSpPr/>
      </xdr:nvCxnSpPr>
      <xdr:spPr>
        <a:xfrm flipH="1">
          <a:off x="2219325" y="1724025"/>
          <a:ext cx="2095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8</xdr:row>
      <xdr:rowOff>219075</xdr:rowOff>
    </xdr:from>
    <xdr:to>
      <xdr:col>3</xdr:col>
      <xdr:colOff>371475</xdr:colOff>
      <xdr:row>12</xdr:row>
      <xdr:rowOff>200025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D209C3E-CD86-B3AA-A572-70C6A1AE407B}"/>
            </a:ext>
          </a:extLst>
        </xdr:cNvPr>
        <xdr:cNvCxnSpPr/>
      </xdr:nvCxnSpPr>
      <xdr:spPr>
        <a:xfrm>
          <a:off x="2200275" y="1752600"/>
          <a:ext cx="0" cy="1362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12</xdr:row>
      <xdr:rowOff>209550</xdr:rowOff>
    </xdr:from>
    <xdr:to>
      <xdr:col>4</xdr:col>
      <xdr:colOff>0</xdr:colOff>
      <xdr:row>12</xdr:row>
      <xdr:rowOff>209550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639E967-CA0D-3186-9929-62416BAF860C}"/>
            </a:ext>
          </a:extLst>
        </xdr:cNvPr>
        <xdr:cNvCxnSpPr/>
      </xdr:nvCxnSpPr>
      <xdr:spPr>
        <a:xfrm>
          <a:off x="2228850" y="3124200"/>
          <a:ext cx="2095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10</xdr:row>
      <xdr:rowOff>142875</xdr:rowOff>
    </xdr:from>
    <xdr:to>
      <xdr:col>3</xdr:col>
      <xdr:colOff>590550</xdr:colOff>
      <xdr:row>10</xdr:row>
      <xdr:rowOff>142875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95D947F-34FB-F7E4-8A0B-139738B1AB11}"/>
            </a:ext>
          </a:extLst>
        </xdr:cNvPr>
        <xdr:cNvCxnSpPr/>
      </xdr:nvCxnSpPr>
      <xdr:spPr>
        <a:xfrm>
          <a:off x="2209800" y="2419350"/>
          <a:ext cx="2095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10</xdr:row>
      <xdr:rowOff>142875</xdr:rowOff>
    </xdr:from>
    <xdr:to>
      <xdr:col>3</xdr:col>
      <xdr:colOff>352425</xdr:colOff>
      <xdr:row>10</xdr:row>
      <xdr:rowOff>142875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854D41E-128A-AC86-6E46-93D9989B5592}"/>
            </a:ext>
          </a:extLst>
        </xdr:cNvPr>
        <xdr:cNvCxnSpPr/>
      </xdr:nvCxnSpPr>
      <xdr:spPr>
        <a:xfrm flipH="1">
          <a:off x="1952625" y="2419350"/>
          <a:ext cx="228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895350</xdr:colOff>
      <xdr:row>10</xdr:row>
      <xdr:rowOff>152400</xdr:rowOff>
    </xdr:from>
    <xdr:to>
      <xdr:col>7</xdr:col>
      <xdr:colOff>304800</xdr:colOff>
      <xdr:row>10</xdr:row>
      <xdr:rowOff>152400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0EBAA1F-6512-7C0A-4D25-F78DBF1BBB41}"/>
            </a:ext>
          </a:extLst>
        </xdr:cNvPr>
        <xdr:cNvCxnSpPr/>
      </xdr:nvCxnSpPr>
      <xdr:spPr>
        <a:xfrm>
          <a:off x="4933950" y="2428875"/>
          <a:ext cx="314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190500</xdr:rowOff>
    </xdr:from>
    <xdr:to>
      <xdr:col>10</xdr:col>
      <xdr:colOff>9525</xdr:colOff>
      <xdr:row>9</xdr:row>
      <xdr:rowOff>190500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D42ECCB-B348-F734-8296-33FB54E2496E}"/>
            </a:ext>
          </a:extLst>
        </xdr:cNvPr>
        <xdr:cNvCxnSpPr/>
      </xdr:nvCxnSpPr>
      <xdr:spPr>
        <a:xfrm>
          <a:off x="6515100" y="2085975"/>
          <a:ext cx="619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952500</xdr:colOff>
      <xdr:row>11</xdr:row>
      <xdr:rowOff>152400</xdr:rowOff>
    </xdr:from>
    <xdr:to>
      <xdr:col>10</xdr:col>
      <xdr:colOff>9525</xdr:colOff>
      <xdr:row>11</xdr:row>
      <xdr:rowOff>152400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5E1A73F-F2E9-E251-693D-31DEF5520EA6}"/>
            </a:ext>
          </a:extLst>
        </xdr:cNvPr>
        <xdr:cNvCxnSpPr/>
      </xdr:nvCxnSpPr>
      <xdr:spPr>
        <a:xfrm>
          <a:off x="6505575" y="2733675"/>
          <a:ext cx="6286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257175</xdr:colOff>
      <xdr:row>9</xdr:row>
      <xdr:rowOff>180975</xdr:rowOff>
    </xdr:from>
    <xdr:to>
      <xdr:col>9</xdr:col>
      <xdr:colOff>257175</xdr:colOff>
      <xdr:row>11</xdr:row>
      <xdr:rowOff>142875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FFC426B3-95D1-5885-CB92-D354D942A5BB}"/>
            </a:ext>
          </a:extLst>
        </xdr:cNvPr>
        <xdr:cNvCxnSpPr/>
      </xdr:nvCxnSpPr>
      <xdr:spPr>
        <a:xfrm>
          <a:off x="6772275" y="2076450"/>
          <a:ext cx="0" cy="647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</xdr:colOff>
      <xdr:row>9</xdr:row>
      <xdr:rowOff>228600</xdr:rowOff>
    </xdr:from>
    <xdr:to>
      <xdr:col>15</xdr:col>
      <xdr:colOff>285750</xdr:colOff>
      <xdr:row>9</xdr:row>
      <xdr:rowOff>228600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D7B0344-A0D2-7B88-F6C4-6999BB24E466}"/>
            </a:ext>
          </a:extLst>
        </xdr:cNvPr>
        <xdr:cNvCxnSpPr/>
      </xdr:nvCxnSpPr>
      <xdr:spPr>
        <a:xfrm>
          <a:off x="11344275" y="2124075"/>
          <a:ext cx="2762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1143000</xdr:colOff>
      <xdr:row>11</xdr:row>
      <xdr:rowOff>171450</xdr:rowOff>
    </xdr:from>
    <xdr:to>
      <xdr:col>15</xdr:col>
      <xdr:colOff>285750</xdr:colOff>
      <xdr:row>11</xdr:row>
      <xdr:rowOff>171450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A7CB350-0A43-2A99-847D-C79A7BF4BB89}"/>
            </a:ext>
          </a:extLst>
        </xdr:cNvPr>
        <xdr:cNvCxnSpPr/>
      </xdr:nvCxnSpPr>
      <xdr:spPr>
        <a:xfrm>
          <a:off x="11325225" y="2752725"/>
          <a:ext cx="2952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9</xdr:row>
      <xdr:rowOff>238125</xdr:rowOff>
    </xdr:from>
    <xdr:to>
      <xdr:col>15</xdr:col>
      <xdr:colOff>295275</xdr:colOff>
      <xdr:row>11</xdr:row>
      <xdr:rowOff>171450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FDDB8C0-C754-4477-9B4F-CE93680C5990}"/>
            </a:ext>
          </a:extLst>
        </xdr:cNvPr>
        <xdr:cNvCxnSpPr/>
      </xdr:nvCxnSpPr>
      <xdr:spPr>
        <a:xfrm>
          <a:off x="11610975" y="2133600"/>
          <a:ext cx="19050" cy="6191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</xdr:row>
      <xdr:rowOff>190500</xdr:rowOff>
    </xdr:from>
    <xdr:to>
      <xdr:col>6</xdr:col>
      <xdr:colOff>9525</xdr:colOff>
      <xdr:row>8</xdr:row>
      <xdr:rowOff>200025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7FA6D04-747C-BF5C-0417-7AD444640621}"/>
            </a:ext>
          </a:extLst>
        </xdr:cNvPr>
        <xdr:cNvCxnSpPr/>
      </xdr:nvCxnSpPr>
      <xdr:spPr>
        <a:xfrm>
          <a:off x="3429000" y="1724025"/>
          <a:ext cx="6191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10</xdr:row>
      <xdr:rowOff>152400</xdr:rowOff>
    </xdr:from>
    <xdr:to>
      <xdr:col>6</xdr:col>
      <xdr:colOff>9525</xdr:colOff>
      <xdr:row>10</xdr:row>
      <xdr:rowOff>161925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1EF7D33D-FFE7-4AFC-B6FB-3BF2D2DDCC9C}"/>
            </a:ext>
          </a:extLst>
        </xdr:cNvPr>
        <xdr:cNvCxnSpPr/>
      </xdr:nvCxnSpPr>
      <xdr:spPr>
        <a:xfrm>
          <a:off x="3429000" y="2428875"/>
          <a:ext cx="6191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209550</xdr:rowOff>
    </xdr:from>
    <xdr:to>
      <xdr:col>6</xdr:col>
      <xdr:colOff>9525</xdr:colOff>
      <xdr:row>12</xdr:row>
      <xdr:rowOff>219075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104DF220-8AEE-4BAD-97B1-695C29344D55}"/>
            </a:ext>
          </a:extLst>
        </xdr:cNvPr>
        <xdr:cNvCxnSpPr/>
      </xdr:nvCxnSpPr>
      <xdr:spPr>
        <a:xfrm>
          <a:off x="3429000" y="3124200"/>
          <a:ext cx="6191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895350</xdr:colOff>
      <xdr:row>8</xdr:row>
      <xdr:rowOff>228600</xdr:rowOff>
    </xdr:from>
    <xdr:to>
      <xdr:col>7</xdr:col>
      <xdr:colOff>304800</xdr:colOff>
      <xdr:row>8</xdr:row>
      <xdr:rowOff>228600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40DFD1A0-4CBD-4B93-8178-72AB8260DF32}"/>
            </a:ext>
          </a:extLst>
        </xdr:cNvPr>
        <xdr:cNvCxnSpPr/>
      </xdr:nvCxnSpPr>
      <xdr:spPr>
        <a:xfrm>
          <a:off x="4933950" y="1762125"/>
          <a:ext cx="314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200025</xdr:rowOff>
    </xdr:from>
    <xdr:to>
      <xdr:col>7</xdr:col>
      <xdr:colOff>314325</xdr:colOff>
      <xdr:row>12</xdr:row>
      <xdr:rowOff>200025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908595C-C224-41C4-BA44-504E51D358B0}"/>
            </a:ext>
          </a:extLst>
        </xdr:cNvPr>
        <xdr:cNvCxnSpPr/>
      </xdr:nvCxnSpPr>
      <xdr:spPr>
        <a:xfrm>
          <a:off x="4943475" y="3114675"/>
          <a:ext cx="314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9</xdr:row>
      <xdr:rowOff>180975</xdr:rowOff>
    </xdr:from>
    <xdr:to>
      <xdr:col>7</xdr:col>
      <xdr:colOff>590550</xdr:colOff>
      <xdr:row>9</xdr:row>
      <xdr:rowOff>180975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1633253C-60A7-8356-A6BA-CBDFE3414DDE}"/>
            </a:ext>
          </a:extLst>
        </xdr:cNvPr>
        <xdr:cNvCxnSpPr/>
      </xdr:nvCxnSpPr>
      <xdr:spPr>
        <a:xfrm flipH="1">
          <a:off x="5248275" y="2076450"/>
          <a:ext cx="2857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11</xdr:row>
      <xdr:rowOff>161925</xdr:rowOff>
    </xdr:from>
    <xdr:to>
      <xdr:col>7</xdr:col>
      <xdr:colOff>600075</xdr:colOff>
      <xdr:row>11</xdr:row>
      <xdr:rowOff>161925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6A8231AC-94B4-4187-BF3F-F80ADB29E6F5}"/>
            </a:ext>
          </a:extLst>
        </xdr:cNvPr>
        <xdr:cNvCxnSpPr/>
      </xdr:nvCxnSpPr>
      <xdr:spPr>
        <a:xfrm flipH="1">
          <a:off x="5257800" y="2743200"/>
          <a:ext cx="28575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828675</xdr:colOff>
      <xdr:row>9</xdr:row>
      <xdr:rowOff>190500</xdr:rowOff>
    </xdr:from>
    <xdr:to>
      <xdr:col>12</xdr:col>
      <xdr:colOff>0</xdr:colOff>
      <xdr:row>9</xdr:row>
      <xdr:rowOff>190500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7F6D049A-61AD-4CAF-9C60-282D39B543A0}"/>
            </a:ext>
          </a:extLst>
        </xdr:cNvPr>
        <xdr:cNvCxnSpPr/>
      </xdr:nvCxnSpPr>
      <xdr:spPr>
        <a:xfrm>
          <a:off x="7953375" y="2085975"/>
          <a:ext cx="619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828675</xdr:colOff>
      <xdr:row>11</xdr:row>
      <xdr:rowOff>161925</xdr:rowOff>
    </xdr:from>
    <xdr:to>
      <xdr:col>12</xdr:col>
      <xdr:colOff>0</xdr:colOff>
      <xdr:row>11</xdr:row>
      <xdr:rowOff>161925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8C7C5241-67EE-4624-92D6-37C12C37607E}"/>
            </a:ext>
          </a:extLst>
        </xdr:cNvPr>
        <xdr:cNvCxnSpPr/>
      </xdr:nvCxnSpPr>
      <xdr:spPr>
        <a:xfrm>
          <a:off x="7953375" y="2743200"/>
          <a:ext cx="619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981075</xdr:colOff>
      <xdr:row>9</xdr:row>
      <xdr:rowOff>219075</xdr:rowOff>
    </xdr:from>
    <xdr:to>
      <xdr:col>13</xdr:col>
      <xdr:colOff>600075</xdr:colOff>
      <xdr:row>9</xdr:row>
      <xdr:rowOff>219075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DFAD5BD3-5E28-47A7-8C73-D21E85673FAA}"/>
            </a:ext>
          </a:extLst>
        </xdr:cNvPr>
        <xdr:cNvCxnSpPr/>
      </xdr:nvCxnSpPr>
      <xdr:spPr>
        <a:xfrm>
          <a:off x="9553575" y="2114550"/>
          <a:ext cx="619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990600</xdr:colOff>
      <xdr:row>11</xdr:row>
      <xdr:rowOff>180975</xdr:rowOff>
    </xdr:from>
    <xdr:to>
      <xdr:col>14</xdr:col>
      <xdr:colOff>0</xdr:colOff>
      <xdr:row>11</xdr:row>
      <xdr:rowOff>180975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2BB38568-45E7-457B-818E-90192100137D}"/>
            </a:ext>
          </a:extLst>
        </xdr:cNvPr>
        <xdr:cNvCxnSpPr/>
      </xdr:nvCxnSpPr>
      <xdr:spPr>
        <a:xfrm>
          <a:off x="9563100" y="2762250"/>
          <a:ext cx="6191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</xdr:row>
      <xdr:rowOff>152400</xdr:rowOff>
    </xdr:from>
    <xdr:to>
      <xdr:col>15</xdr:col>
      <xdr:colOff>495300</xdr:colOff>
      <xdr:row>10</xdr:row>
      <xdr:rowOff>152400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3F6B9127-E424-4080-B916-AE4E700B4C06}"/>
            </a:ext>
          </a:extLst>
        </xdr:cNvPr>
        <xdr:cNvCxnSpPr/>
      </xdr:nvCxnSpPr>
      <xdr:spPr>
        <a:xfrm flipH="1">
          <a:off x="11601450" y="2428875"/>
          <a:ext cx="22860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5346-F050-493B-A1A1-992F1976798B}">
  <dimension ref="B3:D7"/>
  <sheetViews>
    <sheetView tabSelected="1" workbookViewId="0">
      <selection activeCell="D7" sqref="D7"/>
    </sheetView>
  </sheetViews>
  <sheetFormatPr defaultRowHeight="14.4" x14ac:dyDescent="0.3"/>
  <cols>
    <col min="2" max="2" width="13.44140625" customWidth="1"/>
  </cols>
  <sheetData>
    <row r="3" spans="2:4" x14ac:dyDescent="0.3">
      <c r="B3" t="s">
        <v>3</v>
      </c>
      <c r="C3">
        <v>10</v>
      </c>
      <c r="D3">
        <f>C3*8760</f>
        <v>87600</v>
      </c>
    </row>
    <row r="4" spans="2:4" x14ac:dyDescent="0.3">
      <c r="B4" s="1" t="s">
        <v>0</v>
      </c>
      <c r="C4" s="1">
        <v>2208</v>
      </c>
    </row>
    <row r="5" spans="2:4" x14ac:dyDescent="0.3">
      <c r="B5" s="1" t="s">
        <v>1</v>
      </c>
      <c r="C5" s="1">
        <v>1000</v>
      </c>
    </row>
    <row r="6" spans="2:4" x14ac:dyDescent="0.3">
      <c r="B6" s="2" t="s">
        <v>2</v>
      </c>
      <c r="C6" s="1">
        <f>1/C4</f>
        <v>4.5289855072463769E-4</v>
      </c>
    </row>
    <row r="7" spans="2:4" x14ac:dyDescent="0.3">
      <c r="B7" s="1" t="s">
        <v>20</v>
      </c>
      <c r="C7" s="1">
        <f>EXP(-C6*C5)</f>
        <v>0.63578263004190738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9CB13-61DB-4D35-A0E8-DA02A750CB2A}">
  <dimension ref="A2:P20"/>
  <sheetViews>
    <sheetView workbookViewId="0">
      <selection activeCell="P16" sqref="P16"/>
    </sheetView>
  </sheetViews>
  <sheetFormatPr defaultRowHeight="14.4" x14ac:dyDescent="0.3"/>
  <cols>
    <col min="1" max="1" width="15" customWidth="1"/>
    <col min="2" max="2" width="13" customWidth="1"/>
    <col min="5" max="5" width="14.88671875" customWidth="1"/>
    <col min="7" max="7" width="13.5546875" customWidth="1"/>
    <col min="9" max="9" width="14.44140625" customWidth="1"/>
    <col min="11" max="11" width="12.5546875" customWidth="1"/>
    <col min="13" max="13" width="15" customWidth="1"/>
    <col min="15" max="15" width="17.33203125" customWidth="1"/>
  </cols>
  <sheetData>
    <row r="2" spans="1:16" x14ac:dyDescent="0.3">
      <c r="A2" t="s">
        <v>3</v>
      </c>
      <c r="B2">
        <v>5</v>
      </c>
      <c r="C2">
        <f>B2*8760</f>
        <v>43800</v>
      </c>
    </row>
    <row r="3" spans="1:16" x14ac:dyDescent="0.3">
      <c r="A3" s="1" t="s">
        <v>0</v>
      </c>
      <c r="B3" s="1">
        <v>148920</v>
      </c>
      <c r="F3" t="s">
        <v>29</v>
      </c>
    </row>
    <row r="4" spans="1:16" x14ac:dyDescent="0.3">
      <c r="A4" s="1" t="s">
        <v>1</v>
      </c>
      <c r="B4" s="1">
        <v>43800</v>
      </c>
    </row>
    <row r="5" spans="1:16" x14ac:dyDescent="0.3">
      <c r="A5" s="2" t="s">
        <v>2</v>
      </c>
      <c r="B5" s="1">
        <f>1/B3</f>
        <v>6.7150147730325009E-6</v>
      </c>
    </row>
    <row r="6" spans="1:16" x14ac:dyDescent="0.3">
      <c r="A6" s="1" t="s">
        <v>20</v>
      </c>
      <c r="B6" s="1">
        <f>EXP(-B5*B4)</f>
        <v>0.7451888170134805</v>
      </c>
    </row>
    <row r="7" spans="1:16" x14ac:dyDescent="0.3">
      <c r="E7" t="s">
        <v>8</v>
      </c>
      <c r="I7" t="s">
        <v>4</v>
      </c>
      <c r="K7" t="s">
        <v>5</v>
      </c>
      <c r="M7" t="s">
        <v>6</v>
      </c>
      <c r="O7" t="s">
        <v>7</v>
      </c>
    </row>
    <row r="8" spans="1:16" ht="15" thickBot="1" x14ac:dyDescent="0.35"/>
    <row r="9" spans="1:16" ht="28.5" customHeight="1" thickBot="1" x14ac:dyDescent="0.35">
      <c r="E9" s="3" t="s">
        <v>9</v>
      </c>
      <c r="G9" s="3" t="s">
        <v>10</v>
      </c>
    </row>
    <row r="10" spans="1:16" ht="30" customHeight="1" thickBot="1" x14ac:dyDescent="0.35">
      <c r="I10" s="3" t="s">
        <v>12</v>
      </c>
      <c r="K10" s="3" t="s">
        <v>14</v>
      </c>
      <c r="M10" s="3" t="s">
        <v>16</v>
      </c>
      <c r="O10" s="3" t="s">
        <v>18</v>
      </c>
    </row>
    <row r="11" spans="1:16" ht="24" customHeight="1" thickBot="1" x14ac:dyDescent="0.35">
      <c r="E11" s="3" t="s">
        <v>10</v>
      </c>
      <c r="G11" s="3" t="s">
        <v>11</v>
      </c>
    </row>
    <row r="12" spans="1:16" ht="26.25" customHeight="1" thickBot="1" x14ac:dyDescent="0.35">
      <c r="I12" s="3" t="s">
        <v>13</v>
      </c>
      <c r="K12" s="3" t="s">
        <v>15</v>
      </c>
      <c r="M12" s="3" t="s">
        <v>17</v>
      </c>
      <c r="O12" s="3" t="s">
        <v>19</v>
      </c>
    </row>
    <row r="13" spans="1:16" ht="31.5" customHeight="1" thickBot="1" x14ac:dyDescent="0.35">
      <c r="E13" s="3" t="s">
        <v>9</v>
      </c>
      <c r="G13" s="3" t="s">
        <v>11</v>
      </c>
    </row>
    <row r="14" spans="1:16" ht="15" thickBot="1" x14ac:dyDescent="0.35"/>
    <row r="15" spans="1:16" ht="15" thickBot="1" x14ac:dyDescent="0.35">
      <c r="E15" s="4" t="s">
        <v>24</v>
      </c>
      <c r="F15" s="5">
        <v>0.93</v>
      </c>
      <c r="I15" s="4" t="s">
        <v>25</v>
      </c>
      <c r="J15" s="5">
        <v>1</v>
      </c>
      <c r="K15" s="4" t="s">
        <v>27</v>
      </c>
      <c r="L15" s="5">
        <v>0.92</v>
      </c>
      <c r="M15" s="4" t="s">
        <v>26</v>
      </c>
      <c r="N15" s="5">
        <v>0.92</v>
      </c>
      <c r="O15" s="4" t="s">
        <v>28</v>
      </c>
      <c r="P15" s="5">
        <v>0.8</v>
      </c>
    </row>
    <row r="16" spans="1:16" x14ac:dyDescent="0.3">
      <c r="E16" t="s">
        <v>21</v>
      </c>
      <c r="F16">
        <f>3*F15^2-2*F15^3</f>
        <v>0.98598600000000025</v>
      </c>
      <c r="I16" t="s">
        <v>20</v>
      </c>
      <c r="J16">
        <f>1-(1-J15)^2</f>
        <v>1</v>
      </c>
      <c r="O16" t="s">
        <v>20</v>
      </c>
      <c r="P16">
        <v>0.74</v>
      </c>
    </row>
    <row r="17" spans="5:15" x14ac:dyDescent="0.3">
      <c r="O17" t="s">
        <v>23</v>
      </c>
    </row>
    <row r="19" spans="5:15" x14ac:dyDescent="0.3">
      <c r="I19">
        <f>1-(1-I17)^2</f>
        <v>0</v>
      </c>
    </row>
    <row r="20" spans="5:15" x14ac:dyDescent="0.3">
      <c r="E20" s="6" t="s">
        <v>22</v>
      </c>
      <c r="F20">
        <f>F16*P16</f>
        <v>0.72962964000000019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Bjarne Pareliussen</dc:creator>
  <cp:lastModifiedBy>Bjarne Pareliussen</cp:lastModifiedBy>
  <dcterms:created xsi:type="dcterms:W3CDTF">2024-09-30T16:38:14Z</dcterms:created>
  <dcterms:modified xsi:type="dcterms:W3CDTF">2025-02-13T13:05:21Z</dcterms:modified>
</cp:coreProperties>
</file>